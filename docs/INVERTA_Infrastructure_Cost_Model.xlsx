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Cost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Hosting O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-"/>
    <numFmt numFmtId="165" formatCode="#,##0.0;(#,##0.0);-"/>
    <numFmt numFmtId="166" formatCode="$#,##0.0000;($#,##0.0000);-"/>
    <numFmt numFmtId="167" formatCode="$#,##0.00;($#,##0.00);-"/>
    <numFmt numFmtId="168" formatCode="Rp #,##0;(Rp #,##0);-"/>
    <numFmt numFmtId="169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color rgb="00990000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404040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0" borderId="1" pivotButton="0" quotePrefix="0" xfId="0"/>
    <xf numFmtId="0" fontId="3" fillId="0" borderId="0" pivotButton="0" quotePrefix="0" xfId="0"/>
    <xf numFmtId="164" fontId="4" fillId="0" borderId="1" pivotButton="0" quotePrefix="0" xfId="0"/>
    <xf numFmtId="165" fontId="5" fillId="0" borderId="1" pivotButton="0" quotePrefix="0" xfId="0"/>
    <xf numFmtId="165" fontId="5" fillId="3" borderId="1" pivotButton="0" quotePrefix="0" xfId="0"/>
    <xf numFmtId="165" fontId="4" fillId="0" borderId="1" pivotButton="0" quotePrefix="0" xfId="0"/>
    <xf numFmtId="166" fontId="5" fillId="3" borderId="1" pivotButton="0" quotePrefix="0" xfId="0"/>
    <xf numFmtId="167" fontId="5" fillId="3" borderId="1" pivotButton="0" quotePrefix="0" xfId="0"/>
    <xf numFmtId="168" fontId="5" fillId="3" borderId="1" pivotButton="0" quotePrefix="0" xfId="0"/>
    <xf numFmtId="168" fontId="4" fillId="0" borderId="1" pivotButton="0" quotePrefix="0" xfId="0"/>
    <xf numFmtId="164" fontId="5" fillId="3" borderId="1" pivotButton="0" quotePrefix="0" xfId="0"/>
    <xf numFmtId="169" fontId="5" fillId="0" borderId="1" pivotButton="0" quotePrefix="0" xfId="0"/>
    <xf numFmtId="168" fontId="5" fillId="0" borderId="1" pivotButton="0" quotePrefix="0" xfId="0"/>
    <xf numFmtId="167" fontId="4" fillId="0" borderId="1" pivotButton="0" quotePrefix="0" xfId="0"/>
    <xf numFmtId="10" fontId="5" fillId="3" borderId="1" pivotButton="0" quotePrefix="0" xfId="0"/>
    <xf numFmtId="0" fontId="6" fillId="4" borderId="1" applyAlignment="1" pivotButton="0" quotePrefix="0" xfId="0">
      <alignment horizontal="center" wrapText="1"/>
    </xf>
    <xf numFmtId="0" fontId="4" fillId="0" borderId="1" pivotButton="0" quotePrefix="0" xfId="0"/>
    <xf numFmtId="0" fontId="2" fillId="0" borderId="1" pivotButton="0" quotePrefix="0" xfId="0"/>
    <xf numFmtId="169" fontId="4" fillId="0" borderId="1" pivotButton="0" quotePrefix="0" xfId="0"/>
    <xf numFmtId="0" fontId="7" fillId="0" borderId="0" pivotButton="0" quotePrefix="0" xfId="0"/>
    <xf numFmtId="167" fontId="7" fillId="3" borderId="1" pivotButton="0" quotePrefix="0" xfId="0"/>
    <xf numFmtId="168" fontId="7" fillId="3" borderId="1" pivotButton="0" quotePrefix="0" xfId="0"/>
    <xf numFmtId="169" fontId="7" fillId="0" borderId="1" pivotButton="0" quotePrefix="0" xfId="0"/>
    <xf numFmtId="168" fontId="4" fillId="3" borderId="1" pivotButton="0" quotePrefix="0" xfId="0"/>
    <xf numFmtId="169" fontId="4" fillId="3" borderId="1" pivotButton="0" quotePrefix="0" xfId="0"/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3" fillId="5" borderId="0" pivotButton="0" quotePrefix="0" xfId="0"/>
    <xf numFmtId="0" fontId="0" fillId="5" borderId="0" pivotButton="0" quotePrefix="0" xfId="0"/>
    <xf numFmtId="0" fontId="8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66" customWidth="1" min="3" max="3"/>
  </cols>
  <sheetData>
    <row r="1">
      <c r="A1" s="1" t="inlineStr">
        <is>
          <t>INVERTA — monthly infrastructure cost model</t>
        </is>
      </c>
    </row>
    <row r="2">
      <c r="A2" s="2" t="inlineStr">
        <is>
          <t>Blue cells are inputs. Yellow cells are the ones to verify before trusting the total — they are either third-party rates I could not confirm, or figures only you know.</t>
        </is>
      </c>
    </row>
    <row r="4">
      <c r="A4" s="3" t="inlineStr">
        <is>
          <t>CONTENT &amp; AUDIENCE</t>
        </is>
      </c>
      <c r="B4" s="4" t="n"/>
      <c r="C4" s="4" t="n"/>
    </row>
    <row r="5">
      <c r="A5" s="5" t="inlineStr">
        <is>
          <t>Lessons in the program</t>
        </is>
      </c>
      <c r="B5" s="6" t="n">
        <v>20</v>
      </c>
      <c r="C5" s="2" t="inlineStr">
        <is>
          <t>Video sessions with a recording.</t>
        </is>
      </c>
    </row>
    <row r="6">
      <c r="A6" s="5" t="inlineStr">
        <is>
          <t>Average lesson length (minutes)</t>
        </is>
      </c>
      <c r="B6" s="6" t="n">
        <v>15</v>
      </c>
      <c r="C6" s="2" t="inlineStr"/>
    </row>
    <row r="7">
      <c r="A7" s="7" t="inlineStr">
        <is>
          <t>Total content (minutes)</t>
        </is>
      </c>
      <c r="B7" s="8">
        <f>B5*B6</f>
        <v/>
      </c>
      <c r="C7" s="2" t="inlineStr"/>
    </row>
    <row r="8">
      <c r="A8" s="5" t="inlineStr">
        <is>
          <t>Students per month</t>
        </is>
      </c>
      <c r="B8" s="6" t="n">
        <v>30</v>
      </c>
      <c r="C8" s="2" t="inlineStr">
        <is>
          <t>Active cohort.</t>
        </is>
      </c>
    </row>
    <row r="9">
      <c r="A9" s="5" t="inlineStr">
        <is>
          <t>Rewatch factor</t>
        </is>
      </c>
      <c r="B9" s="9" t="n">
        <v>1.3</v>
      </c>
      <c r="C9" s="2" t="inlineStr">
        <is>
          <t>1.0 = watches everything once. 1.3 assumes 30% revisiting.</t>
        </is>
      </c>
    </row>
    <row r="10">
      <c r="A10" s="7" t="inlineStr">
        <is>
          <t>Minutes delivered per month</t>
        </is>
      </c>
      <c r="B10" s="8">
        <f>B7*B8*B9</f>
        <v/>
      </c>
      <c r="C10" s="2" t="inlineStr"/>
    </row>
    <row r="12">
      <c r="A12" s="3" t="inlineStr">
        <is>
          <t>VIDEO ENCODING</t>
        </is>
      </c>
      <c r="B12" s="4" t="n"/>
      <c r="C12" s="4" t="n"/>
    </row>
    <row r="13">
      <c r="A13" s="5" t="inlineStr">
        <is>
          <t>Delivered size (MB per minute)</t>
        </is>
      </c>
      <c r="B13" s="10" t="n">
        <v>5</v>
      </c>
      <c r="C13" s="2" t="inlineStr">
        <is>
          <t>Screencast at ~650 kbps. Measure a real export and replace this.</t>
        </is>
      </c>
    </row>
    <row r="14">
      <c r="A14" s="5" t="inlineStr">
        <is>
          <t>Storage ladder multiplier</t>
        </is>
      </c>
      <c r="B14" s="10" t="n">
        <v>2.5</v>
      </c>
      <c r="C14" s="2" t="inlineStr">
        <is>
          <t>Bunny keeps several renditions per source.</t>
        </is>
      </c>
    </row>
    <row r="15">
      <c r="A15" s="7" t="inlineStr">
        <is>
          <t>GB delivered per month</t>
        </is>
      </c>
      <c r="B15" s="11">
        <f>B10*B13/1024</f>
        <v/>
      </c>
      <c r="C15" s="2" t="inlineStr"/>
    </row>
    <row r="16">
      <c r="A16" s="7" t="inlineStr">
        <is>
          <t>GB stored (video)</t>
        </is>
      </c>
      <c r="B16" s="11">
        <f>B7*B13*B14/1024</f>
        <v/>
      </c>
      <c r="C16" s="2" t="inlineStr">
        <is>
          <t>Grows as you add lessons; not per-month.</t>
        </is>
      </c>
    </row>
    <row r="18">
      <c r="A18" s="3" t="inlineStr">
        <is>
          <t>BUNNY STREAM RATES — VERIFY</t>
        </is>
      </c>
      <c r="B18" s="4" t="n"/>
      <c r="C18" s="4" t="n"/>
    </row>
    <row r="19">
      <c r="A19" s="5" t="inlineStr">
        <is>
          <t>Storage ($/GB/month)</t>
        </is>
      </c>
      <c r="B19" s="12" t="n">
        <v>0.01</v>
      </c>
      <c r="C19" s="2" t="inlineStr"/>
    </row>
    <row r="20">
      <c r="A20" s="5" t="inlineStr">
        <is>
          <t>Delivery ($/GB, Asia &amp; Oceania)</t>
        </is>
      </c>
      <c r="B20" s="12" t="n">
        <v>0.03</v>
      </c>
      <c r="C20" s="2" t="inlineStr">
        <is>
          <t>Higher than EU/NA. Most likely figure to be wrong.</t>
        </is>
      </c>
    </row>
    <row r="21">
      <c r="A21" s="5" t="inlineStr">
        <is>
          <t>Minimum monthly charge ($)</t>
        </is>
      </c>
      <c r="B21" s="13" t="n">
        <v>1</v>
      </c>
      <c r="C21" s="2" t="inlineStr">
        <is>
          <t>Bunny applies a monthly floor.</t>
        </is>
      </c>
    </row>
    <row r="23">
      <c r="A23" s="3" t="inlineStr">
        <is>
          <t>SERVER — MAC MINI (self-hosted)</t>
        </is>
      </c>
      <c r="B23" s="4" t="n"/>
      <c r="C23" s="4" t="n"/>
    </row>
    <row r="24">
      <c r="A24" s="5" t="inlineStr">
        <is>
          <t>Hardware purchase price (IDR)</t>
        </is>
      </c>
      <c r="B24" s="14" t="n">
        <v>12000000</v>
      </c>
      <c r="C24" s="2" t="inlineStr">
        <is>
          <t>Leave as-is if already owned; it still has an opportunity cost.</t>
        </is>
      </c>
    </row>
    <row r="25">
      <c r="A25" s="5" t="inlineStr">
        <is>
          <t>Amortisation period (months)</t>
        </is>
      </c>
      <c r="B25" s="6" t="n">
        <v>36</v>
      </c>
      <c r="C25" s="2" t="inlineStr">
        <is>
          <t>Set to a very large number to treat the hardware as free.</t>
        </is>
      </c>
    </row>
    <row r="26">
      <c r="A26" s="7" t="inlineStr">
        <is>
          <t>Hardware per month (IDR)</t>
        </is>
      </c>
      <c r="B26" s="15">
        <f>IF(B25=0,0,B24/B25)</f>
        <v/>
      </c>
      <c r="C26" s="2" t="inlineStr"/>
    </row>
    <row r="27">
      <c r="A27" s="5" t="inlineStr">
        <is>
          <t>Average power draw (watts)</t>
        </is>
      </c>
      <c r="B27" s="16" t="n">
        <v>15</v>
      </c>
      <c r="C27" s="2" t="inlineStr">
        <is>
          <t>Apple silicon Mac mini idles low; this app is not CPU-heavy.</t>
        </is>
      </c>
    </row>
    <row r="28">
      <c r="A28" s="5" t="inlineStr">
        <is>
          <t>Electricity tariff (IDR per kWh)</t>
        </is>
      </c>
      <c r="B28" s="16" t="n">
        <v>1700</v>
      </c>
      <c r="C28" s="2" t="inlineStr">
        <is>
          <t>PLN household tariff — check your actual band.</t>
        </is>
      </c>
    </row>
    <row r="29">
      <c r="A29" s="7" t="inlineStr">
        <is>
          <t>Electricity per month (IDR)</t>
        </is>
      </c>
      <c r="B29" s="15">
        <f>B27*24*30/1000*B28</f>
        <v/>
      </c>
      <c r="C29" s="2" t="inlineStr"/>
    </row>
    <row r="30">
      <c r="A30" s="5" t="inlineStr">
        <is>
          <t>Internet subscription (IDR/month)</t>
        </is>
      </c>
      <c r="B30" s="14" t="n">
        <v>500000</v>
      </c>
      <c r="C30" s="2" t="inlineStr">
        <is>
          <t>Your existing home/office fibre.</t>
        </is>
      </c>
    </row>
    <row r="31">
      <c r="A31" s="5" t="inlineStr">
        <is>
          <t>Share attributed to this app</t>
        </is>
      </c>
      <c r="B31" s="17" t="n">
        <v>0.3</v>
      </c>
      <c r="C31" s="2" t="inlineStr">
        <is>
          <t>You would pay for the line anyway; charge the app only its share.</t>
        </is>
      </c>
    </row>
    <row r="32">
      <c r="A32" s="7" t="inlineStr">
        <is>
          <t>Internet per month (IDR)</t>
        </is>
      </c>
      <c r="B32" s="15">
        <f>B30*B31</f>
        <v/>
      </c>
      <c r="C32" s="2" t="inlineStr"/>
    </row>
    <row r="34">
      <c r="A34" s="3" t="inlineStr">
        <is>
          <t>CLOUDFLARE</t>
        </is>
      </c>
      <c r="B34" s="4" t="n"/>
      <c r="C34" s="4" t="n"/>
    </row>
    <row r="35">
      <c r="A35" s="5" t="inlineStr">
        <is>
          <t>Tunnel (IDR/month)</t>
        </is>
      </c>
      <c r="B35" s="18" t="n">
        <v>0</v>
      </c>
      <c r="C35" s="2" t="inlineStr">
        <is>
          <t>Cloudflare Tunnel is free.</t>
        </is>
      </c>
    </row>
    <row r="36">
      <c r="A36" s="5" t="inlineStr">
        <is>
          <t>R2 audio stored (GB)</t>
        </is>
      </c>
      <c r="B36" s="9" t="n">
        <v>1.5</v>
      </c>
      <c r="C36" s="2" t="inlineStr">
        <is>
          <t>Listening recordings. Grows with the question bank.</t>
        </is>
      </c>
    </row>
    <row r="37">
      <c r="A37" s="5" t="inlineStr">
        <is>
          <t>R2 free storage tier (GB)</t>
        </is>
      </c>
      <c r="B37" s="10" t="n">
        <v>10</v>
      </c>
      <c r="C37" s="2" t="inlineStr"/>
    </row>
    <row r="38">
      <c r="A38" s="5" t="inlineStr">
        <is>
          <t>R2 storage ($/GB/month)</t>
        </is>
      </c>
      <c r="B38" s="12" t="n">
        <v>0.015</v>
      </c>
      <c r="C38" s="2" t="inlineStr">
        <is>
          <t>Egress is $0 — that is R2's whole point.</t>
        </is>
      </c>
    </row>
    <row r="39">
      <c r="A39" s="7" t="inlineStr">
        <is>
          <t>R2 cost ($/month)</t>
        </is>
      </c>
      <c r="B39" s="19">
        <f>MAX(0,B36-B37)*B38</f>
        <v/>
      </c>
      <c r="C39" s="2" t="inlineStr"/>
    </row>
    <row r="41">
      <c r="A41" s="3" t="inlineStr">
        <is>
          <t>EMAIL — AMAZON SES</t>
        </is>
      </c>
      <c r="B41" s="4" t="n"/>
      <c r="C41" s="4" t="n"/>
    </row>
    <row r="42">
      <c r="A42" s="5" t="inlineStr">
        <is>
          <t>Emails per student per month</t>
        </is>
      </c>
      <c r="B42" s="6" t="n">
        <v>10</v>
      </c>
      <c r="C42" s="2" t="inlineStr">
        <is>
          <t>Verification, receipt, certificate, reminders.</t>
        </is>
      </c>
    </row>
    <row r="43">
      <c r="A43" s="5" t="inlineStr">
        <is>
          <t>SES rate ($ per 1,000 emails)</t>
        </is>
      </c>
      <c r="B43" s="12" t="n">
        <v>0.1</v>
      </c>
      <c r="C43" s="2" t="inlineStr"/>
    </row>
    <row r="44">
      <c r="A44" s="7" t="inlineStr">
        <is>
          <t>SES cost ($/month)</t>
        </is>
      </c>
      <c r="B44" s="19">
        <f>B8*B42/1000*B43</f>
        <v/>
      </c>
      <c r="C44" s="2" t="inlineStr"/>
    </row>
    <row r="46">
      <c r="A46" s="3" t="inlineStr">
        <is>
          <t>PAYMENTS — the line item that actually scales</t>
        </is>
      </c>
      <c r="B46" s="4" t="n"/>
      <c r="C46" s="4" t="n"/>
    </row>
    <row r="47">
      <c r="A47" s="5" t="inlineStr">
        <is>
          <t>Program price (IDR)</t>
        </is>
      </c>
      <c r="B47" s="18" t="n">
        <v>1500000</v>
      </c>
      <c r="C47" s="2" t="inlineStr">
        <is>
          <t>KAK section 17 item 5 — still a placeholder.</t>
        </is>
      </c>
    </row>
    <row r="48">
      <c r="A48" s="7" t="inlineStr">
        <is>
          <t>Revenue per month (IDR)</t>
        </is>
      </c>
      <c r="B48" s="15">
        <f>B8*B47</f>
        <v/>
      </c>
      <c r="C48" s="2" t="inlineStr"/>
    </row>
    <row r="49">
      <c r="A49" s="5" t="inlineStr">
        <is>
          <t>Gateway fee (% of transaction)</t>
        </is>
      </c>
      <c r="B49" s="20" t="n">
        <v>0.007</v>
      </c>
      <c r="C49" s="2" t="inlineStr">
        <is>
          <t>QRIS MDR is regulated by Bank Indonesia and has been revised. Confirm your rate.</t>
        </is>
      </c>
    </row>
    <row r="50">
      <c r="A50" s="5" t="inlineStr">
        <is>
          <t>Fixed fee per transaction (IDR)</t>
        </is>
      </c>
      <c r="B50" s="14" t="n">
        <v>0</v>
      </c>
      <c r="C50" s="2" t="inlineStr">
        <is>
          <t>QRIS is usually percentage-only; VA and cards add a flat fee.</t>
        </is>
      </c>
    </row>
    <row r="51">
      <c r="A51" s="7" t="inlineStr">
        <is>
          <t>Gateway cost per month (IDR)</t>
        </is>
      </c>
      <c r="B51" s="15">
        <f>B48*B49+B8*B50</f>
        <v/>
      </c>
      <c r="C51" s="2" t="inlineStr"/>
    </row>
    <row r="53">
      <c r="A53" s="3" t="inlineStr">
        <is>
          <t>DOMAIN &amp; MISC</t>
        </is>
      </c>
      <c r="B53" s="4" t="n"/>
      <c r="C53" s="4" t="n"/>
    </row>
    <row r="54">
      <c r="A54" s="5" t="inlineStr">
        <is>
          <t>Domain (IDR per year)</t>
        </is>
      </c>
      <c r="B54" s="18" t="n">
        <v>200000</v>
      </c>
      <c r="C54" s="2" t="inlineStr"/>
    </row>
    <row r="55">
      <c r="A55" s="7" t="inlineStr">
        <is>
          <t>Domain per month (IDR)</t>
        </is>
      </c>
      <c r="B55" s="15">
        <f>B54/12</f>
        <v/>
      </c>
      <c r="C55" s="2" t="inlineStr"/>
    </row>
    <row r="57">
      <c r="A57" s="3" t="inlineStr">
        <is>
          <t>FX</t>
        </is>
      </c>
      <c r="B57" s="4" t="n"/>
      <c r="C57" s="4" t="n"/>
    </row>
    <row r="58">
      <c r="A58" s="5" t="inlineStr">
        <is>
          <t>USD to IDR</t>
        </is>
      </c>
      <c r="B58" s="16" t="n">
        <v>16000</v>
      </c>
      <c r="C58" s="2" t="inlineStr"/>
    </row>
    <row r="60">
      <c r="A60" s="7" t="inlineStr">
        <is>
          <t>Sources and honesty notes</t>
        </is>
      </c>
    </row>
    <row r="61">
      <c r="A61" s="2" t="inlineStr">
        <is>
          <t>- Third-party rates (Bunny, R2, SES, QRIS MDR, PLN tariff) were NOT verified by Claude — my pricing knowledge has a cutoff and these change. Every one is a yellow cell.</t>
        </is>
      </c>
    </row>
    <row r="62">
      <c r="A62" s="2" t="inlineStr">
        <is>
          <t>- Cohort size (30/month), screencast content type, and Mac mini hosting: supplied by the user.</t>
        </is>
      </c>
    </row>
    <row r="63">
      <c r="A63" s="2" t="inlineStr">
        <is>
          <t>- Encoding sizes are estimates for screen-recorded content, not measurements of your files.</t>
        </is>
      </c>
    </row>
    <row r="64">
      <c r="A64" s="2" t="inlineStr">
        <is>
          <t>- Program price Rp 1.500.000 is the placeholder from KAK section 17, not a decided price.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8" customWidth="1" min="4" max="4"/>
    <col width="12" customWidth="1" min="5" max="5"/>
  </cols>
  <sheetData>
    <row r="1">
      <c r="A1" s="1" t="inlineStr">
        <is>
          <t>Monthly cost — all services</t>
        </is>
      </c>
    </row>
    <row r="2">
      <c r="A2" s="2" t="inlineStr">
        <is>
          <t>Every figure is a formula off Assumptions. Change an input there and this updates.</t>
        </is>
      </c>
    </row>
    <row r="4">
      <c r="A4" s="21" t="inlineStr">
        <is>
          <t>Line item</t>
        </is>
      </c>
      <c r="B4" s="21" t="inlineStr">
        <is>
          <t>Basis</t>
        </is>
      </c>
      <c r="C4" s="21" t="inlineStr">
        <is>
          <t>Cost (USD)</t>
        </is>
      </c>
      <c r="D4" s="21" t="inlineStr">
        <is>
          <t>Cost (IDR)</t>
        </is>
      </c>
      <c r="E4" s="21" t="inlineStr">
        <is>
          <t>% of total</t>
        </is>
      </c>
    </row>
    <row r="5">
      <c r="A5" s="22" t="inlineStr">
        <is>
          <t>Bunny Stream — video</t>
        </is>
      </c>
      <c r="B5" s="23" t="inlineStr">
        <is>
          <t>Storage + delivery, min charge applied</t>
        </is>
      </c>
      <c r="C5" s="19">
        <f>MAX('Assumptions'!B16*'Assumptions'!B19+'Assumptions'!B15*'Assumptions'!B20,'Assumptions'!B21)</f>
        <v/>
      </c>
      <c r="D5" s="15">
        <f>C5*'Assumptions'!$B$58</f>
        <v/>
      </c>
      <c r="E5" s="24">
        <f>IF($D$15=0,0,D5/$D$15)</f>
        <v/>
      </c>
    </row>
    <row r="6">
      <c r="A6" s="22" t="inlineStr">
        <is>
          <t>Cloudflare R2 — audio</t>
        </is>
      </c>
      <c r="B6" s="23" t="inlineStr">
        <is>
          <t>Storage above free tier; egress free</t>
        </is>
      </c>
      <c r="C6" s="19">
        <f>'Assumptions'!B39</f>
        <v/>
      </c>
      <c r="D6" s="15">
        <f>C6*'Assumptions'!$B$58</f>
        <v/>
      </c>
      <c r="E6" s="24">
        <f>IF($D$15=0,0,D6/$D$15)</f>
        <v/>
      </c>
    </row>
    <row r="7">
      <c r="A7" s="22" t="inlineStr">
        <is>
          <t>Cloudflare Tunnel</t>
        </is>
      </c>
      <c r="B7" s="23" t="inlineStr">
        <is>
          <t>Free tier</t>
        </is>
      </c>
      <c r="C7" s="19">
        <f>D7/'Assumptions'!$B$58</f>
        <v/>
      </c>
      <c r="D7" s="15">
        <f>'Assumptions'!B35</f>
        <v/>
      </c>
      <c r="E7" s="24">
        <f>IF($D$15=0,0,D7/$D$15)</f>
        <v/>
      </c>
    </row>
    <row r="8">
      <c r="A8" s="22" t="inlineStr">
        <is>
          <t>Amazon SES — email</t>
        </is>
      </c>
      <c r="B8" s="23" t="inlineStr">
        <is>
          <t>Per 1,000 emails</t>
        </is>
      </c>
      <c r="C8" s="19">
        <f>'Assumptions'!B44</f>
        <v/>
      </c>
      <c r="D8" s="15">
        <f>C8*'Assumptions'!$B$58</f>
        <v/>
      </c>
      <c r="E8" s="24">
        <f>IF($D$15=0,0,D8/$D$15)</f>
        <v/>
      </c>
    </row>
    <row r="9">
      <c r="A9" s="22" t="inlineStr">
        <is>
          <t>Mac mini — hardware</t>
        </is>
      </c>
      <c r="B9" s="23" t="inlineStr">
        <is>
          <t>Purchase price amortised</t>
        </is>
      </c>
      <c r="C9" s="19">
        <f>D9/'Assumptions'!$B$58</f>
        <v/>
      </c>
      <c r="D9" s="15">
        <f>'Assumptions'!B26</f>
        <v/>
      </c>
      <c r="E9" s="24">
        <f>IF($D$15=0,0,D9/$D$15)</f>
        <v/>
      </c>
    </row>
    <row r="10">
      <c r="A10" s="22" t="inlineStr">
        <is>
          <t>Mac mini — electricity</t>
        </is>
      </c>
      <c r="B10" s="23" t="inlineStr">
        <is>
          <t>Watts x 24h x 30d x tariff</t>
        </is>
      </c>
      <c r="C10" s="19">
        <f>D10/'Assumptions'!$B$58</f>
        <v/>
      </c>
      <c r="D10" s="15">
        <f>'Assumptions'!B29</f>
        <v/>
      </c>
      <c r="E10" s="24">
        <f>IF($D$15=0,0,D10/$D$15)</f>
        <v/>
      </c>
    </row>
    <row r="11">
      <c r="A11" s="22" t="inlineStr">
        <is>
          <t>Internet — attributed share</t>
        </is>
      </c>
      <c r="B11" s="23" t="inlineStr">
        <is>
          <t>Subscription x share</t>
        </is>
      </c>
      <c r="C11" s="19">
        <f>D11/'Assumptions'!$B$58</f>
        <v/>
      </c>
      <c r="D11" s="15">
        <f>'Assumptions'!B32</f>
        <v/>
      </c>
      <c r="E11" s="24">
        <f>IF($D$15=0,0,D11/$D$15)</f>
        <v/>
      </c>
    </row>
    <row r="12">
      <c r="A12" s="22" t="inlineStr">
        <is>
          <t>Domain</t>
        </is>
      </c>
      <c r="B12" s="23" t="inlineStr">
        <is>
          <t>Annual / 12</t>
        </is>
      </c>
      <c r="C12" s="19">
        <f>D12/'Assumptions'!$B$58</f>
        <v/>
      </c>
      <c r="D12" s="15">
        <f>'Assumptions'!B55</f>
        <v/>
      </c>
      <c r="E12" s="24">
        <f>IF($D$15=0,0,D12/$D$15)</f>
        <v/>
      </c>
    </row>
    <row r="13">
      <c r="A13" s="22" t="inlineStr">
        <is>
          <t>Payment gateway</t>
        </is>
      </c>
      <c r="B13" s="23" t="inlineStr">
        <is>
          <t>% of revenue + per-transaction</t>
        </is>
      </c>
      <c r="C13" s="19">
        <f>D13/'Assumptions'!$B$58</f>
        <v/>
      </c>
      <c r="D13" s="15">
        <f>'Assumptions'!B51</f>
        <v/>
      </c>
      <c r="E13" s="24">
        <f>IF($D$15=0,0,D13/$D$15)</f>
        <v/>
      </c>
    </row>
    <row r="15">
      <c r="A15" s="25" t="inlineStr">
        <is>
          <t>TOTAL</t>
        </is>
      </c>
      <c r="C15" s="26">
        <f>SUM(C5:C13)</f>
        <v/>
      </c>
      <c r="D15" s="27">
        <f>SUM(D5:D13)</f>
        <v/>
      </c>
      <c r="E15" s="28">
        <f>IF($D$15=0,0,SUM(E5:E13))</f>
        <v/>
      </c>
    </row>
    <row r="18">
      <c r="A18" s="3" t="inlineStr">
        <is>
          <t>Against revenue</t>
        </is>
      </c>
      <c r="B18" s="4" t="n"/>
      <c r="C18" s="4" t="n"/>
      <c r="D18" s="4" t="n"/>
      <c r="E18" s="4" t="n"/>
    </row>
    <row r="19">
      <c r="A19" s="5" t="inlineStr">
        <is>
          <t>Revenue per month</t>
        </is>
      </c>
      <c r="D19" s="15">
        <f>'Assumptions'!B48</f>
        <v/>
      </c>
    </row>
    <row r="20">
      <c r="A20" s="5" t="inlineStr">
        <is>
          <t>Infrastructure as % of revenue</t>
        </is>
      </c>
      <c r="D20" s="24">
        <f>IF('Assumptions'!B48=0,0,D15/'Assumptions'!B48)</f>
        <v/>
      </c>
    </row>
    <row r="21">
      <c r="A21" s="5" t="inlineStr">
        <is>
          <t>Infrastructure cost per student</t>
        </is>
      </c>
      <c r="D21" s="15">
        <f>IF('Assumptions'!B8=0,0,D15/'Assumptions'!B8)</f>
        <v/>
      </c>
    </row>
    <row r="22">
      <c r="A22" s="5" t="inlineStr">
        <is>
          <t>Excluding payment fees, per student</t>
        </is>
      </c>
      <c r="D22" s="15">
        <f>IF('Assumptions'!B8=0,0,(D15-D13)/'Assumptions'!B8)</f>
        <v/>
      </c>
    </row>
    <row r="25">
      <c r="A25" s="7" t="inlineStr">
        <is>
          <t>Not included — and one of these dwarfs everything above</t>
        </is>
      </c>
    </row>
    <row r="26">
      <c r="A26" s="2" t="inlineStr">
        <is>
          <t>- Producing the videos: recording, editing, and the person doing it. This is your real cost centre, not hosting.</t>
        </is>
      </c>
    </row>
    <row r="27">
      <c r="A27" s="2" t="inlineStr">
        <is>
          <t>- Writing the question bank — 140 final items plus gating tests (KAK section 17 item 4).</t>
        </is>
      </c>
    </row>
    <row r="28">
      <c r="A28" s="2" t="inlineStr">
        <is>
          <t>- Your own time, or anyone you pay to run the programme.</t>
        </is>
      </c>
    </row>
    <row r="29">
      <c r="A29" s="2" t="inlineStr">
        <is>
          <t>- Backups. Budget a little R2 storage for Postgres dumps; a self-hosted database with no offsite backup is a single disk failure from losing every learner record.</t>
        </is>
      </c>
    </row>
    <row r="30">
      <c r="A30" s="2" t="inlineStr">
        <is>
          <t>- Taxes on revenue, and any legal review of the TOEFL naming (KAK section 17 item 2).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16" customWidth="1" min="7" max="7"/>
  </cols>
  <sheetData>
    <row r="1">
      <c r="A1" s="1" t="inlineStr">
        <is>
          <t>Cost by cohort size</t>
        </is>
      </c>
    </row>
    <row r="2">
      <c r="A2" s="2" t="inlineStr">
        <is>
          <t>Only the student count varies. Fixed costs stay flat; Bunny and the gateway scale.</t>
        </is>
      </c>
    </row>
    <row r="4">
      <c r="A4" s="21" t="inlineStr">
        <is>
          <t>Students/month</t>
        </is>
      </c>
      <c r="B4" s="21" t="inlineStr">
        <is>
          <t>Bunny (IDR)</t>
        </is>
      </c>
      <c r="C4" s="21" t="inlineStr">
        <is>
          <t>Gateway (IDR)</t>
        </is>
      </c>
      <c r="D4" s="21" t="inlineStr">
        <is>
          <t>Other fixed (IDR)</t>
        </is>
      </c>
      <c r="E4" s="21" t="inlineStr">
        <is>
          <t>TOTAL (IDR/mo)</t>
        </is>
      </c>
      <c r="F4" s="21" t="inlineStr">
        <is>
          <t>Revenue (IDR/mo)</t>
        </is>
      </c>
      <c r="G4" s="21" t="inlineStr">
        <is>
          <t>Infra % of revenue</t>
        </is>
      </c>
    </row>
    <row r="5">
      <c r="A5" s="6" t="n">
        <v>10</v>
      </c>
      <c r="B5" s="15">
        <f>MAX('Assumptions'!$B$16*'Assumptions'!$B$19+A5*'Assumptions'!$B$7*'Assumptions'!$B$9*'Assumptions'!$B$13/1024*'Assumptions'!$B$20,'Assumptions'!$B$21)*'Assumptions'!$B$58</f>
        <v/>
      </c>
      <c r="C5" s="15">
        <f>A5*'Assumptions'!$B$47*'Assumptions'!$B$49+A5*'Assumptions'!$B$50</f>
        <v/>
      </c>
      <c r="D5" s="15">
        <f>'Monthly Cost'!$D$6+'Monthly Cost'!$D$7+'Monthly Cost'!$D$9+'Monthly Cost'!$D$10+'Monthly Cost'!$D$11+'Monthly Cost'!$D$12</f>
        <v/>
      </c>
      <c r="E5" s="15">
        <f>B5+C5+D5+A5*'Assumptions'!$B$42/1000*'Assumptions'!$B$43*'Assumptions'!$B$58</f>
        <v/>
      </c>
      <c r="F5" s="15">
        <f>A5*'Assumptions'!$B$47</f>
        <v/>
      </c>
      <c r="G5" s="24">
        <f>IF(F5=0,0,E5/F5)</f>
        <v/>
      </c>
    </row>
    <row r="6">
      <c r="A6" s="6" t="n">
        <v>20</v>
      </c>
      <c r="B6" s="15">
        <f>MAX('Assumptions'!$B$16*'Assumptions'!$B$19+A6*'Assumptions'!$B$7*'Assumptions'!$B$9*'Assumptions'!$B$13/1024*'Assumptions'!$B$20,'Assumptions'!$B$21)*'Assumptions'!$B$58</f>
        <v/>
      </c>
      <c r="C6" s="15">
        <f>A6*'Assumptions'!$B$47*'Assumptions'!$B$49+A6*'Assumptions'!$B$50</f>
        <v/>
      </c>
      <c r="D6" s="15">
        <f>'Monthly Cost'!$D$6+'Monthly Cost'!$D$7+'Monthly Cost'!$D$9+'Monthly Cost'!$D$10+'Monthly Cost'!$D$11+'Monthly Cost'!$D$12</f>
        <v/>
      </c>
      <c r="E6" s="15">
        <f>B6+C6+D6+A6*'Assumptions'!$B$42/1000*'Assumptions'!$B$43*'Assumptions'!$B$58</f>
        <v/>
      </c>
      <c r="F6" s="15">
        <f>A6*'Assumptions'!$B$47</f>
        <v/>
      </c>
      <c r="G6" s="24">
        <f>IF(F6=0,0,E6/F6)</f>
        <v/>
      </c>
    </row>
    <row r="7">
      <c r="A7" s="16" t="n">
        <v>30</v>
      </c>
      <c r="B7" s="29">
        <f>MAX('Assumptions'!$B$16*'Assumptions'!$B$19+A7*'Assumptions'!$B$7*'Assumptions'!$B$9*'Assumptions'!$B$13/1024*'Assumptions'!$B$20,'Assumptions'!$B$21)*'Assumptions'!$B$58</f>
        <v/>
      </c>
      <c r="C7" s="29">
        <f>A7*'Assumptions'!$B$47*'Assumptions'!$B$49+A7*'Assumptions'!$B$50</f>
        <v/>
      </c>
      <c r="D7" s="29">
        <f>'Monthly Cost'!$D$6+'Monthly Cost'!$D$7+'Monthly Cost'!$D$9+'Monthly Cost'!$D$10+'Monthly Cost'!$D$11+'Monthly Cost'!$D$12</f>
        <v/>
      </c>
      <c r="E7" s="29">
        <f>B7+C7+D7+A7*'Assumptions'!$B$42/1000*'Assumptions'!$B$43*'Assumptions'!$B$58</f>
        <v/>
      </c>
      <c r="F7" s="29">
        <f>A7*'Assumptions'!$B$47</f>
        <v/>
      </c>
      <c r="G7" s="30">
        <f>IF(F7=0,0,E7/F7)</f>
        <v/>
      </c>
    </row>
    <row r="8">
      <c r="A8" s="6" t="n">
        <v>50</v>
      </c>
      <c r="B8" s="15">
        <f>MAX('Assumptions'!$B$16*'Assumptions'!$B$19+A8*'Assumptions'!$B$7*'Assumptions'!$B$9*'Assumptions'!$B$13/1024*'Assumptions'!$B$20,'Assumptions'!$B$21)*'Assumptions'!$B$58</f>
        <v/>
      </c>
      <c r="C8" s="15">
        <f>A8*'Assumptions'!$B$47*'Assumptions'!$B$49+A8*'Assumptions'!$B$50</f>
        <v/>
      </c>
      <c r="D8" s="15">
        <f>'Monthly Cost'!$D$6+'Monthly Cost'!$D$7+'Monthly Cost'!$D$9+'Monthly Cost'!$D$10+'Monthly Cost'!$D$11+'Monthly Cost'!$D$12</f>
        <v/>
      </c>
      <c r="E8" s="15">
        <f>B8+C8+D8+A8*'Assumptions'!$B$42/1000*'Assumptions'!$B$43*'Assumptions'!$B$58</f>
        <v/>
      </c>
      <c r="F8" s="15">
        <f>A8*'Assumptions'!$B$47</f>
        <v/>
      </c>
      <c r="G8" s="24">
        <f>IF(F8=0,0,E8/F8)</f>
        <v/>
      </c>
    </row>
    <row r="9">
      <c r="A9" s="6" t="n">
        <v>100</v>
      </c>
      <c r="B9" s="15">
        <f>MAX('Assumptions'!$B$16*'Assumptions'!$B$19+A9*'Assumptions'!$B$7*'Assumptions'!$B$9*'Assumptions'!$B$13/1024*'Assumptions'!$B$20,'Assumptions'!$B$21)*'Assumptions'!$B$58</f>
        <v/>
      </c>
      <c r="C9" s="15">
        <f>A9*'Assumptions'!$B$47*'Assumptions'!$B$49+A9*'Assumptions'!$B$50</f>
        <v/>
      </c>
      <c r="D9" s="15">
        <f>'Monthly Cost'!$D$6+'Monthly Cost'!$D$7+'Monthly Cost'!$D$9+'Monthly Cost'!$D$10+'Monthly Cost'!$D$11+'Monthly Cost'!$D$12</f>
        <v/>
      </c>
      <c r="E9" s="15">
        <f>B9+C9+D9+A9*'Assumptions'!$B$42/1000*'Assumptions'!$B$43*'Assumptions'!$B$58</f>
        <v/>
      </c>
      <c r="F9" s="15">
        <f>A9*'Assumptions'!$B$47</f>
        <v/>
      </c>
      <c r="G9" s="24">
        <f>IF(F9=0,0,E9/F9)</f>
        <v/>
      </c>
    </row>
    <row r="10">
      <c r="A10" s="6" t="n">
        <v>200</v>
      </c>
      <c r="B10" s="15">
        <f>MAX('Assumptions'!$B$16*'Assumptions'!$B$19+A10*'Assumptions'!$B$7*'Assumptions'!$B$9*'Assumptions'!$B$13/1024*'Assumptions'!$B$20,'Assumptions'!$B$21)*'Assumptions'!$B$58</f>
        <v/>
      </c>
      <c r="C10" s="15">
        <f>A10*'Assumptions'!$B$47*'Assumptions'!$B$49+A10*'Assumptions'!$B$50</f>
        <v/>
      </c>
      <c r="D10" s="15">
        <f>'Monthly Cost'!$D$6+'Monthly Cost'!$D$7+'Monthly Cost'!$D$9+'Monthly Cost'!$D$10+'Monthly Cost'!$D$11+'Monthly Cost'!$D$12</f>
        <v/>
      </c>
      <c r="E10" s="15">
        <f>B10+C10+D10+A10*'Assumptions'!$B$42/1000*'Assumptions'!$B$43*'Assumptions'!$B$58</f>
        <v/>
      </c>
      <c r="F10" s="15">
        <f>A10*'Assumptions'!$B$47</f>
        <v/>
      </c>
      <c r="G10" s="24">
        <f>IF(F10=0,0,E10/F10)</f>
        <v/>
      </c>
    </row>
    <row r="11">
      <c r="A11" s="6" t="n">
        <v>500</v>
      </c>
      <c r="B11" s="15">
        <f>MAX('Assumptions'!$B$16*'Assumptions'!$B$19+A11*'Assumptions'!$B$7*'Assumptions'!$B$9*'Assumptions'!$B$13/1024*'Assumptions'!$B$20,'Assumptions'!$B$21)*'Assumptions'!$B$58</f>
        <v/>
      </c>
      <c r="C11" s="15">
        <f>A11*'Assumptions'!$B$47*'Assumptions'!$B$49+A11*'Assumptions'!$B$50</f>
        <v/>
      </c>
      <c r="D11" s="15">
        <f>'Monthly Cost'!$D$6+'Monthly Cost'!$D$7+'Monthly Cost'!$D$9+'Monthly Cost'!$D$10+'Monthly Cost'!$D$11+'Monthly Cost'!$D$12</f>
        <v/>
      </c>
      <c r="E11" s="15">
        <f>B11+C11+D11+A11*'Assumptions'!$B$42/1000*'Assumptions'!$B$43*'Assumptions'!$B$58</f>
        <v/>
      </c>
      <c r="F11" s="15">
        <f>A11*'Assumptions'!$B$47</f>
        <v/>
      </c>
      <c r="G11" s="24">
        <f>IF(F11=0,0,E11/F11)</f>
        <v/>
      </c>
    </row>
    <row r="13">
      <c r="A13" s="2" t="inlineStr">
        <is>
          <t>Highlighted row is your stated case: 30 students/month.</t>
        </is>
      </c>
    </row>
    <row r="14">
      <c r="A14" s="2" t="inlineStr">
        <is>
          <t>Infrastructure as a share of revenue FALLS as you grow: the fixed costs (hardware, internet, domain) spread over more students while only the gateway fee stays proportional.</t>
        </is>
      </c>
    </row>
    <row r="15">
      <c r="A15" s="2" t="inlineStr">
        <is>
          <t>Formulas were checked cell-by-cell and cross-computed in Python, but NOT recalculated by a spreadsheet engine — no LibreOffice on the machine that built this. Open it once and confirm the totals.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64" customWidth="1" min="4" max="4"/>
  </cols>
  <sheetData>
    <row r="1">
      <c r="A1" s="1" t="inlineStr">
        <is>
          <t>Hosting: Mac mini vs the alternatives</t>
        </is>
      </c>
    </row>
    <row r="2">
      <c r="A2" s="2" t="inlineStr">
        <is>
          <t>Cost is not what decides this. Uptime is.</t>
        </is>
      </c>
    </row>
    <row r="4">
      <c r="A4" s="21" t="inlineStr">
        <is>
          <t>Option</t>
        </is>
      </c>
      <c r="B4" s="21" t="inlineStr">
        <is>
          <t>IDR / month</t>
        </is>
      </c>
      <c r="C4" s="21" t="inlineStr">
        <is>
          <t>Setup effort</t>
        </is>
      </c>
      <c r="D4" s="21" t="inlineStr">
        <is>
          <t>What you are actually trading</t>
        </is>
      </c>
    </row>
    <row r="5" ht="46" customHeight="1">
      <c r="A5" s="22" t="inlineStr">
        <is>
          <t>Mac mini (self-hosted)</t>
        </is>
      </c>
      <c r="B5" s="15">
        <f>'Monthly Cost'!D9+'Monthly Cost'!D10+'Monthly Cost'!D11</f>
        <v/>
      </c>
      <c r="C5" s="31" t="inlineStr">
        <is>
          <t>Already done</t>
        </is>
      </c>
      <c r="D5" s="32" t="inlineStr">
        <is>
          <t>Cheapest, full control. You own uptime: home power cuts, ISP outages, and your own reboots are now product incidents.</t>
        </is>
      </c>
    </row>
    <row r="6" ht="46" customHeight="1">
      <c r="A6" s="22" t="inlineStr">
        <is>
          <t>Small cloud VPS</t>
        </is>
      </c>
      <c r="B6" s="18">
        <f>350000</f>
        <v/>
      </c>
      <c r="C6" s="31" t="inlineStr">
        <is>
          <t>Half a day</t>
        </is>
      </c>
      <c r="D6" s="32" t="inlineStr">
        <is>
          <t>4 vCPU / 8 GB in Singapore. Datacentre power and network, snapshots, static IP. You still patch the OS.</t>
        </is>
      </c>
    </row>
    <row r="7" ht="46" customHeight="1">
      <c r="A7" s="22" t="inlineStr">
        <is>
          <t>Managed container host</t>
        </is>
      </c>
      <c r="B7" s="18">
        <f>800000</f>
        <v/>
      </c>
      <c r="C7" s="31" t="inlineStr">
        <is>
          <t>A day</t>
        </is>
      </c>
      <c r="D7" s="32" t="inlineStr">
        <is>
          <t>Deploys from git, restarts on crash, managed Postgres available. Least operational burden, highest bill.</t>
        </is>
      </c>
    </row>
    <row r="9">
      <c r="A9" s="33" t="inlineStr">
        <is>
          <t>The risk that actually matters for THIS product</t>
        </is>
      </c>
      <c r="B9" s="34" t="n"/>
      <c r="C9" s="34" t="n"/>
      <c r="D9" s="34" t="n"/>
    </row>
    <row r="10" ht="64" customHeight="1">
      <c r="A10" s="35" t="inlineStr">
        <is>
          <t>The final assessment is a 115-minute timed exam with a SERVER-AUTHORITATIVE clock. If the Mac mini or your home internet drops mid-sitting, the learner's deadline keeps advancing in wall-clock time while they cannot reach the app. They can lose a paid attempt through no fault of their own, and you will be issuing manual retakes and refunds. That is a support and reputation cost no hosting line item captures.</t>
        </is>
      </c>
    </row>
    <row r="12">
      <c r="A12" s="7" t="inlineStr">
        <is>
          <t>Reasonable position</t>
        </is>
      </c>
    </row>
    <row r="13" ht="44" customHeight="1">
      <c r="A13" s="36" t="inlineStr">
        <is>
          <t>Mac mini is fine for building, piloting, and a first small cohort. Move to a datacentre before you run exams you would have to refund. The app is already containerised and tunnel-fronted, so the move is a compose file and a DNS change, not a rewrite.</t>
        </is>
      </c>
    </row>
  </sheetData>
  <mergeCells count="2"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2026-08-27T11:15:07Z</dcterms:created>
  <dcterms:modified xmlns:dcterms="http://purl.org/dc/terms/" xmlns:xsi="http://www.w3.org/2001/XMLSchema-instance" xsi:type="dcterms:W3CDTF">2026-08-27T11:15:07Z</dcterms:modified>
</cp:coreProperties>
</file>