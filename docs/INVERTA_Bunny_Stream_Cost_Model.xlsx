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Cost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-"/>
    <numFmt numFmtId="165" formatCode="#,##0.0;(#,##0.0);-"/>
    <numFmt numFmtId="166" formatCode="$#,##0.0000;($#,##0.0000);-"/>
    <numFmt numFmtId="167" formatCode="$#,##0.00;($#,##0.00);-"/>
    <numFmt numFmtId="168" formatCode="Rp #,##0;(Rp #,##0)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0" borderId="1" pivotButton="0" quotePrefix="0" xfId="0"/>
    <xf numFmtId="0" fontId="3" fillId="0" borderId="0" pivotButton="0" quotePrefix="0" xfId="0"/>
    <xf numFmtId="164" fontId="4" fillId="0" borderId="1" pivotButton="0" quotePrefix="0" xfId="0"/>
    <xf numFmtId="165" fontId="5" fillId="0" borderId="1" pivotButton="0" quotePrefix="0" xfId="0"/>
    <xf numFmtId="165" fontId="5" fillId="3" borderId="1" pivotButton="0" quotePrefix="0" xfId="0"/>
    <xf numFmtId="165" fontId="4" fillId="0" borderId="1" pivotButton="0" quotePrefix="0" xfId="0"/>
    <xf numFmtId="166" fontId="5" fillId="3" borderId="1" pivotButton="0" quotePrefix="0" xfId="0"/>
    <xf numFmtId="167" fontId="5" fillId="3" borderId="1" pivotButton="0" quotePrefix="0" xfId="0"/>
    <xf numFmtId="164" fontId="5" fillId="3" borderId="1" pivotButton="0" quotePrefix="0" xfId="0"/>
    <xf numFmtId="168" fontId="5" fillId="0" borderId="1" pivotButton="0" quotePrefix="0" xfId="0"/>
    <xf numFmtId="0" fontId="6" fillId="4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6" fontId="4" fillId="0" borderId="1" pivotButton="0" quotePrefix="0" xfId="0"/>
    <xf numFmtId="167" fontId="4" fillId="0" borderId="1" pivotButton="0" quotePrefix="0" xfId="0"/>
    <xf numFmtId="0" fontId="2" fillId="0" borderId="0" applyAlignment="1" pivotButton="0" quotePrefix="0" xfId="0">
      <alignment horizontal="center"/>
    </xf>
    <xf numFmtId="167" fontId="3" fillId="3" borderId="1" pivotButton="0" quotePrefix="0" xfId="0"/>
    <xf numFmtId="168" fontId="3" fillId="3" borderId="1" pivotButton="0" quotePrefix="0" xfId="0"/>
    <xf numFmtId="168" fontId="4" fillId="0" borderId="1" pivotButton="0" quotePrefix="0" xfId="0"/>
    <xf numFmtId="10" fontId="4" fillId="0" borderId="1" pivotButton="0" quotePrefix="0" xfId="0"/>
    <xf numFmtId="0" fontId="6" fillId="4" borderId="1" applyAlignment="1" pivotButton="0" quotePrefix="0" xfId="0">
      <alignment horizontal="center" wrapText="1"/>
    </xf>
    <xf numFmtId="164" fontId="4" fillId="3" borderId="1" pivotButton="0" quotePrefix="0" xfId="0"/>
    <xf numFmtId="165" fontId="4" fillId="3" borderId="1" pivotButton="0" quotePrefix="0" xfId="0"/>
    <xf numFmtId="167" fontId="4" fillId="3" borderId="1" pivotButton="0" quotePrefix="0" xfId="0"/>
    <xf numFmtId="168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62" customWidth="1" min="3" max="3"/>
  </cols>
  <sheetData>
    <row r="1">
      <c r="A1" s="1" t="inlineStr">
        <is>
          <t>INVERTA — Bunny Stream cost model</t>
        </is>
      </c>
    </row>
    <row r="2">
      <c r="A2" s="2" t="inlineStr">
        <is>
          <t>Blue cells are inputs. Yellow cells are the ones to verify against Bunny's current pricing page before trusting the total.</t>
        </is>
      </c>
    </row>
    <row r="4">
      <c r="A4" s="3" t="inlineStr">
        <is>
          <t>CONTENT</t>
        </is>
      </c>
      <c r="B4" s="4" t="n"/>
      <c r="C4" s="4" t="n"/>
    </row>
    <row r="5">
      <c r="A5" s="5" t="inlineStr">
        <is>
          <t>Lessons in the program</t>
        </is>
      </c>
      <c r="B5" s="6" t="n">
        <v>20</v>
      </c>
      <c r="C5" s="2" t="inlineStr">
        <is>
          <t>Video sessions with a recording.</t>
        </is>
      </c>
    </row>
    <row r="6">
      <c r="A6" s="5" t="inlineStr">
        <is>
          <t>Average lesson length (minutes)</t>
        </is>
      </c>
      <c r="B6" s="6" t="n">
        <v>15</v>
      </c>
      <c r="C6" s="2" t="inlineStr"/>
    </row>
    <row r="7">
      <c r="A7" s="7" t="inlineStr">
        <is>
          <t>Total content (minutes)</t>
        </is>
      </c>
      <c r="B7" s="8">
        <f>B5*B6</f>
        <v/>
      </c>
      <c r="C7" s="2" t="inlineStr">
        <is>
          <t>Drives storage, not delivery.</t>
        </is>
      </c>
    </row>
    <row r="9">
      <c r="A9" s="3" t="inlineStr">
        <is>
          <t>AUDIENCE</t>
        </is>
      </c>
      <c r="B9" s="4" t="n"/>
      <c r="C9" s="4" t="n"/>
    </row>
    <row r="10">
      <c r="A10" s="5" t="inlineStr">
        <is>
          <t>Students per month</t>
        </is>
      </c>
      <c r="B10" s="6" t="n">
        <v>30</v>
      </c>
      <c r="C10" s="2" t="inlineStr">
        <is>
          <t>Concurrent cohort actively watching.</t>
        </is>
      </c>
    </row>
    <row r="11">
      <c r="A11" s="5" t="inlineStr">
        <is>
          <t>Rewatch factor</t>
        </is>
      </c>
      <c r="B11" s="9" t="n">
        <v>1.3</v>
      </c>
      <c r="C11" s="2" t="inlineStr">
        <is>
          <t>1.0 = each student watches everything exactly once. 1.3 assumes 30% revisiting.</t>
        </is>
      </c>
    </row>
    <row r="12">
      <c r="A12" s="7" t="inlineStr">
        <is>
          <t>Minutes delivered per month</t>
        </is>
      </c>
      <c r="B12" s="8">
        <f>B7*B10*B11</f>
        <v/>
      </c>
      <c r="C12" s="2">
        <f> content x students x rewatch.</f>
        <v/>
      </c>
    </row>
    <row r="14">
      <c r="A14" s="3" t="inlineStr">
        <is>
          <t>ENCODING</t>
        </is>
      </c>
      <c r="B14" s="4" t="n"/>
      <c r="C14" s="4" t="n"/>
    </row>
    <row r="15">
      <c r="A15" s="5" t="inlineStr">
        <is>
          <t>Delivered size (MB per minute)</t>
        </is>
      </c>
      <c r="B15" s="10" t="n">
        <v>5</v>
      </c>
      <c r="C15" s="2" t="inlineStr">
        <is>
          <t>Screencast at ~650 kbps. Full-motion video would be 15-25.</t>
        </is>
      </c>
    </row>
    <row r="16">
      <c r="A16" s="5" t="inlineStr">
        <is>
          <t>Storage ladder multiplier</t>
        </is>
      </c>
      <c r="B16" s="10" t="n">
        <v>2.5</v>
      </c>
      <c r="C16" s="2" t="inlineStr">
        <is>
          <t>Bunny stores several renditions per source. 1.0 would be a single file.</t>
        </is>
      </c>
    </row>
    <row r="17">
      <c r="A17" s="7" t="inlineStr">
        <is>
          <t>GB delivered per month</t>
        </is>
      </c>
      <c r="B17" s="11">
        <f>B12*B15/1024</f>
        <v/>
      </c>
      <c r="C17" s="2" t="inlineStr"/>
    </row>
    <row r="18">
      <c r="A18" s="7" t="inlineStr">
        <is>
          <t>GB stored</t>
        </is>
      </c>
      <c r="B18" s="11">
        <f>B7*B15*B16/1024</f>
        <v/>
      </c>
      <c r="C18" s="2" t="inlineStr">
        <is>
          <t>One-off, not per month — content accumulates as you add lessons.</t>
        </is>
      </c>
    </row>
    <row r="20">
      <c r="A20" s="3" t="inlineStr">
        <is>
          <t>BUNNY STREAM RATES — VERIFY THESE</t>
        </is>
      </c>
      <c r="B20" s="4" t="n"/>
      <c r="C20" s="4" t="n"/>
    </row>
    <row r="21">
      <c r="A21" s="5" t="inlineStr">
        <is>
          <t>Storage ($ per GB per month)</t>
        </is>
      </c>
      <c r="B21" s="12" t="n">
        <v>0.01</v>
      </c>
      <c r="C21" s="2" t="inlineStr">
        <is>
          <t>Bunny Stream storage rate.</t>
        </is>
      </c>
    </row>
    <row r="22">
      <c r="A22" s="5" t="inlineStr">
        <is>
          <t>Delivery ($ per GB)</t>
        </is>
      </c>
      <c r="B22" s="12" t="n">
        <v>0.03</v>
      </c>
      <c r="C22" s="2" t="inlineStr">
        <is>
          <t>Asia &amp; Oceania tier — higher than EU/NA. This is the number most likely to be wrong.</t>
        </is>
      </c>
    </row>
    <row r="23">
      <c r="A23" s="5" t="inlineStr">
        <is>
          <t>Minimum monthly charge ($)</t>
        </is>
      </c>
      <c r="B23" s="13" t="n">
        <v>1</v>
      </c>
      <c r="C23" s="2" t="inlineStr">
        <is>
          <t>Bunny applies a monthly floor; small accounts pay it.</t>
        </is>
      </c>
    </row>
    <row r="25">
      <c r="A25" s="3" t="inlineStr">
        <is>
          <t>COMMERCIAL</t>
        </is>
      </c>
      <c r="B25" s="4" t="n"/>
      <c r="C25" s="4" t="n"/>
    </row>
    <row r="26">
      <c r="A26" s="5" t="inlineStr">
        <is>
          <t>USD to IDR</t>
        </is>
      </c>
      <c r="B26" s="14" t="n">
        <v>16000</v>
      </c>
      <c r="C26" s="2" t="inlineStr">
        <is>
          <t>For the rupiah view only.</t>
        </is>
      </c>
    </row>
    <row r="27">
      <c r="A27" s="5" t="inlineStr">
        <is>
          <t>Program price (IDR)</t>
        </is>
      </c>
      <c r="B27" s="15" t="n">
        <v>1500000</v>
      </c>
      <c r="C27" s="2" t="inlineStr">
        <is>
          <t>KAK section 17 item 5 — still a placeholder.</t>
        </is>
      </c>
    </row>
    <row r="29">
      <c r="A29" s="7" t="inlineStr">
        <is>
          <t>Sources</t>
        </is>
      </c>
    </row>
    <row r="30">
      <c r="A30" s="2" t="inlineStr">
        <is>
          <t>Rates: Bunny.net pricing page — not verified by Claude; my pricing knowledge has a cutoff and video rates change. Content, audience and price figures: supplied by the user (30 students/month, screencast lessons).</t>
        </is>
      </c>
    </row>
    <row r="31">
      <c r="A31" s="2" t="inlineStr">
        <is>
          <t>Encoding figures are estimates for screen-recorded content, not measured from your actual files. Re-measure once you have one real exported lesson.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6" customWidth="1" min="4" max="4"/>
    <col width="16" customWidth="1" min="5" max="5"/>
  </cols>
  <sheetData>
    <row r="1">
      <c r="A1" s="1" t="inlineStr">
        <is>
          <t>Monthly cost — Bunny Stream</t>
        </is>
      </c>
    </row>
    <row r="2">
      <c r="A2" s="2" t="inlineStr">
        <is>
          <t>Every figure below is a formula off the Assumptions sheet. Change an input there and this recalculates.</t>
        </is>
      </c>
    </row>
    <row r="4">
      <c r="A4" s="16" t="inlineStr">
        <is>
          <t>Line item</t>
        </is>
      </c>
      <c r="B4" s="16" t="inlineStr">
        <is>
          <t>Quantity</t>
        </is>
      </c>
      <c r="C4" s="16" t="inlineStr">
        <is>
          <t>Unit</t>
        </is>
      </c>
      <c r="D4" s="16" t="inlineStr">
        <is>
          <t>Rate</t>
        </is>
      </c>
      <c r="E4" s="16" t="inlineStr">
        <is>
          <t>Cost (USD)</t>
        </is>
      </c>
    </row>
    <row r="5">
      <c r="A5" s="17" t="inlineStr">
        <is>
          <t>Storage</t>
        </is>
      </c>
      <c r="B5" s="11">
        <f>'Assumptions'!B18</f>
        <v/>
      </c>
      <c r="C5" s="18" t="inlineStr">
        <is>
          <t>GB</t>
        </is>
      </c>
      <c r="D5" s="19">
        <f>'Assumptions'!B21</f>
        <v/>
      </c>
      <c r="E5" s="20">
        <f>B5*D5</f>
        <v/>
      </c>
    </row>
    <row r="6">
      <c r="A6" s="17" t="inlineStr">
        <is>
          <t>Delivery</t>
        </is>
      </c>
      <c r="B6" s="11">
        <f>'Assumptions'!B17</f>
        <v/>
      </c>
      <c r="C6" s="18" t="inlineStr">
        <is>
          <t>GB/month</t>
        </is>
      </c>
      <c r="D6" s="19">
        <f>'Assumptions'!B22</f>
        <v/>
      </c>
      <c r="E6" s="20">
        <f>B6*D6</f>
        <v/>
      </c>
    </row>
    <row r="7">
      <c r="A7" s="7" t="inlineStr">
        <is>
          <t>Subtotal</t>
        </is>
      </c>
      <c r="E7" s="20">
        <f>SUM(E5:E6)</f>
        <v/>
      </c>
    </row>
    <row r="8">
      <c r="A8" s="5" t="inlineStr">
        <is>
          <t>Top-up to monthly minimum</t>
        </is>
      </c>
      <c r="C8" s="21" t="inlineStr">
        <is>
          <t>applied</t>
        </is>
      </c>
      <c r="E8" s="20">
        <f>MAX(0,'Assumptions'!B23-E7)</f>
        <v/>
      </c>
    </row>
    <row r="10">
      <c r="A10" s="7" t="inlineStr">
        <is>
          <t>TOTAL (USD / month)</t>
        </is>
      </c>
      <c r="E10" s="22">
        <f>E7+E8</f>
        <v/>
      </c>
    </row>
    <row r="11">
      <c r="A11" s="7" t="inlineStr">
        <is>
          <t>TOTAL (IDR / month)</t>
        </is>
      </c>
      <c r="E11" s="23">
        <f>E10*'Assumptions'!B26</f>
        <v/>
      </c>
    </row>
    <row r="14">
      <c r="A14" s="3" t="inlineStr">
        <is>
          <t>Per student</t>
        </is>
      </c>
      <c r="B14" s="4" t="n"/>
      <c r="C14" s="4" t="n"/>
      <c r="D14" s="4" t="n"/>
      <c r="E14" s="4" t="n"/>
    </row>
    <row r="15">
      <c r="A15" s="5" t="inlineStr">
        <is>
          <t>Video cost per student (USD)</t>
        </is>
      </c>
      <c r="E15" s="19">
        <f>IF('Assumptions'!B10=0,0,E10/'Assumptions'!B10)</f>
        <v/>
      </c>
    </row>
    <row r="16">
      <c r="A16" s="5" t="inlineStr">
        <is>
          <t>Video cost per student (IDR)</t>
        </is>
      </c>
      <c r="E16" s="24">
        <f>E15*'Assumptions'!B26</f>
        <v/>
      </c>
    </row>
    <row r="17">
      <c r="A17" s="5" t="inlineStr">
        <is>
          <t>Program price (IDR)</t>
        </is>
      </c>
      <c r="E17" s="24">
        <f>'Assumptions'!B27</f>
        <v/>
      </c>
    </row>
    <row r="18">
      <c r="A18" s="5" t="inlineStr">
        <is>
          <t>Video cost as % of price</t>
        </is>
      </c>
      <c r="E18" s="25">
        <f>IF('Assumptions'!B27=0,0,E16/'Assumptions'!B27)</f>
        <v/>
      </c>
    </row>
    <row r="20">
      <c r="A20" s="7" t="inlineStr">
        <is>
          <t>What this does NOT include</t>
        </is>
      </c>
    </row>
    <row r="21">
      <c r="A21" s="2" t="inlineStr">
        <is>
          <t>- Producing the videos — recording, editing, and the person doing it. Almost certainly your largest real cost.</t>
        </is>
      </c>
    </row>
    <row r="22">
      <c r="A22" s="2" t="inlineStr">
        <is>
          <t>- Payment gateway fees (a PSP takes a percentage of every enrollment — model separately against revenue).</t>
        </is>
      </c>
    </row>
    <row r="23">
      <c r="A23" s="2" t="inlineStr">
        <is>
          <t>- SES email, R2 audio storage, and the server itself. Small, but not zero.</t>
        </is>
      </c>
    </row>
    <row r="24">
      <c r="A24" s="2" t="inlineStr">
        <is>
          <t>- One-off encoding: Bunny includes transcoding in Stream, so there is no separate line for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8" customWidth="1" min="6" max="6"/>
    <col width="20" customWidth="1" min="7" max="7"/>
  </cols>
  <sheetData>
    <row r="1">
      <c r="A1" s="1" t="inlineStr">
        <is>
          <t>Cost by cohort size</t>
        </is>
      </c>
    </row>
    <row r="2">
      <c r="A2" s="2" t="inlineStr">
        <is>
          <t>Only the student count varies; every other assumption is held from the Assumptions sheet. Storage is fixed, so the total is almost entirely delivery.</t>
        </is>
      </c>
    </row>
    <row r="4">
      <c r="A4" s="26" t="inlineStr">
        <is>
          <t>Students/month</t>
        </is>
      </c>
      <c r="B4" s="26" t="inlineStr">
        <is>
          <t>Minutes delivered</t>
        </is>
      </c>
      <c r="C4" s="26" t="inlineStr">
        <is>
          <t>GB delivered</t>
        </is>
      </c>
      <c r="D4" s="26" t="inlineStr">
        <is>
          <t>Delivery (USD)</t>
        </is>
      </c>
      <c r="E4" s="26" t="inlineStr">
        <is>
          <t>Storage (USD)</t>
        </is>
      </c>
      <c r="F4" s="26" t="inlineStr">
        <is>
          <t>TOTAL (USD/mo)</t>
        </is>
      </c>
      <c r="G4" s="26" t="inlineStr">
        <is>
          <t>TOTAL (IDR/mo)</t>
        </is>
      </c>
    </row>
    <row r="5">
      <c r="A5" s="6" t="n">
        <v>10</v>
      </c>
      <c r="B5" s="8">
        <f>A5*'Assumptions'!$B$7*'Assumptions'!$B$11</f>
        <v/>
      </c>
      <c r="C5" s="11">
        <f>B5*'Assumptions'!$B$15/1024</f>
        <v/>
      </c>
      <c r="D5" s="20">
        <f>C5*'Assumptions'!$B$22</f>
        <v/>
      </c>
      <c r="E5" s="20">
        <f>'Assumptions'!$B$18*'Assumptions'!$B$21</f>
        <v/>
      </c>
      <c r="F5" s="20">
        <f>MAX(D5+E5,'Assumptions'!$B$23)</f>
        <v/>
      </c>
      <c r="G5" s="24">
        <f>F5*'Assumptions'!$B$26</f>
        <v/>
      </c>
    </row>
    <row r="6">
      <c r="A6" s="6" t="n">
        <v>20</v>
      </c>
      <c r="B6" s="8">
        <f>A6*'Assumptions'!$B$7*'Assumptions'!$B$11</f>
        <v/>
      </c>
      <c r="C6" s="11">
        <f>B6*'Assumptions'!$B$15/1024</f>
        <v/>
      </c>
      <c r="D6" s="20">
        <f>C6*'Assumptions'!$B$22</f>
        <v/>
      </c>
      <c r="E6" s="20">
        <f>'Assumptions'!$B$18*'Assumptions'!$B$21</f>
        <v/>
      </c>
      <c r="F6" s="20">
        <f>MAX(D6+E6,'Assumptions'!$B$23)</f>
        <v/>
      </c>
      <c r="G6" s="24">
        <f>F6*'Assumptions'!$B$26</f>
        <v/>
      </c>
    </row>
    <row r="7">
      <c r="A7" s="14" t="n">
        <v>30</v>
      </c>
      <c r="B7" s="27">
        <f>A7*'Assumptions'!$B$7*'Assumptions'!$B$11</f>
        <v/>
      </c>
      <c r="C7" s="28">
        <f>B7*'Assumptions'!$B$15/1024</f>
        <v/>
      </c>
      <c r="D7" s="29">
        <f>C7*'Assumptions'!$B$22</f>
        <v/>
      </c>
      <c r="E7" s="29">
        <f>'Assumptions'!$B$18*'Assumptions'!$B$21</f>
        <v/>
      </c>
      <c r="F7" s="29">
        <f>MAX(D7+E7,'Assumptions'!$B$23)</f>
        <v/>
      </c>
      <c r="G7" s="30">
        <f>F7*'Assumptions'!$B$26</f>
        <v/>
      </c>
    </row>
    <row r="8">
      <c r="A8" s="6" t="n">
        <v>50</v>
      </c>
      <c r="B8" s="8">
        <f>A8*'Assumptions'!$B$7*'Assumptions'!$B$11</f>
        <v/>
      </c>
      <c r="C8" s="11">
        <f>B8*'Assumptions'!$B$15/1024</f>
        <v/>
      </c>
      <c r="D8" s="20">
        <f>C8*'Assumptions'!$B$22</f>
        <v/>
      </c>
      <c r="E8" s="20">
        <f>'Assumptions'!$B$18*'Assumptions'!$B$21</f>
        <v/>
      </c>
      <c r="F8" s="20">
        <f>MAX(D8+E8,'Assumptions'!$B$23)</f>
        <v/>
      </c>
      <c r="G8" s="24">
        <f>F8*'Assumptions'!$B$26</f>
        <v/>
      </c>
    </row>
    <row r="9">
      <c r="A9" s="6" t="n">
        <v>100</v>
      </c>
      <c r="B9" s="8">
        <f>A9*'Assumptions'!$B$7*'Assumptions'!$B$11</f>
        <v/>
      </c>
      <c r="C9" s="11">
        <f>B9*'Assumptions'!$B$15/1024</f>
        <v/>
      </c>
      <c r="D9" s="20">
        <f>C9*'Assumptions'!$B$22</f>
        <v/>
      </c>
      <c r="E9" s="20">
        <f>'Assumptions'!$B$18*'Assumptions'!$B$21</f>
        <v/>
      </c>
      <c r="F9" s="20">
        <f>MAX(D9+E9,'Assumptions'!$B$23)</f>
        <v/>
      </c>
      <c r="G9" s="24">
        <f>F9*'Assumptions'!$B$26</f>
        <v/>
      </c>
    </row>
    <row r="10">
      <c r="A10" s="6" t="n">
        <v>200</v>
      </c>
      <c r="B10" s="8">
        <f>A10*'Assumptions'!$B$7*'Assumptions'!$B$11</f>
        <v/>
      </c>
      <c r="C10" s="11">
        <f>B10*'Assumptions'!$B$15/1024</f>
        <v/>
      </c>
      <c r="D10" s="20">
        <f>C10*'Assumptions'!$B$22</f>
        <v/>
      </c>
      <c r="E10" s="20">
        <f>'Assumptions'!$B$18*'Assumptions'!$B$21</f>
        <v/>
      </c>
      <c r="F10" s="20">
        <f>MAX(D10+E10,'Assumptions'!$B$23)</f>
        <v/>
      </c>
      <c r="G10" s="24">
        <f>F10*'Assumptions'!$B$26</f>
        <v/>
      </c>
    </row>
    <row r="11">
      <c r="A11" s="6" t="n">
        <v>500</v>
      </c>
      <c r="B11" s="8">
        <f>A11*'Assumptions'!$B$7*'Assumptions'!$B$11</f>
        <v/>
      </c>
      <c r="C11" s="11">
        <f>B11*'Assumptions'!$B$15/1024</f>
        <v/>
      </c>
      <c r="D11" s="20">
        <f>C11*'Assumptions'!$B$22</f>
        <v/>
      </c>
      <c r="E11" s="20">
        <f>'Assumptions'!$B$18*'Assumptions'!$B$21</f>
        <v/>
      </c>
      <c r="F11" s="20">
        <f>MAX(D11+E11,'Assumptions'!$B$23)</f>
        <v/>
      </c>
      <c r="G11" s="24">
        <f>F11*'Assumptions'!$B$26</f>
        <v/>
      </c>
    </row>
    <row r="13">
      <c r="A13" s="2" t="inlineStr">
        <is>
          <t>Highlighted row is your stated case: 30 students/month.</t>
        </is>
      </c>
    </row>
    <row r="14">
      <c r="A14" s="2" t="inlineStr">
        <is>
          <t>Storage is fixed, so the total is almost entirely delivery and scales linearly with students. The monthly minimum only binds below about 17 students — at 10 students you pay the floor, not usage.</t>
        </is>
      </c>
    </row>
    <row r="15">
      <c r="A15" s="2" t="inlineStr">
        <is>
          <t>Formulas were checked cell-by-cell and cross-computed in Python, but NOT recalculated by a spreadsheet engine (no LibreOffice on the machine that built this). Open it once and confirm the totals match the figures quoted in chat.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2026-08-27T11:10:43Z</dcterms:created>
  <dcterms:modified xmlns:dcterms="http://purl.org/dc/terms/" xmlns:xsi="http://www.w3.org/2001/XMLSchema-instance" xsi:type="dcterms:W3CDTF">2026-08-27T11:11:42Z</dcterms:modified>
</cp:coreProperties>
</file>